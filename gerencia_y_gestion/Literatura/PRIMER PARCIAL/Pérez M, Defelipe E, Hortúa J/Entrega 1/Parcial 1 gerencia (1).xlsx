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ias" sheetId="1" r:id="rId4"/>
    <sheet state="visible" name="Instrucciones" sheetId="2" r:id="rId5"/>
  </sheets>
  <definedNames/>
  <calcPr/>
  <extLst>
    <ext uri="GoogleSheetsCustomDataVersion2">
      <go:sheetsCustomData xmlns:go="http://customooxmlschemas.google.com/" r:id="rId6" roundtripDataChecksum="8rECZDBqfRD5U4BYGbUfIraC1UpchscgaJcV7htWods="/>
    </ext>
  </extLst>
</workbook>
</file>

<file path=xl/sharedStrings.xml><?xml version="1.0" encoding="utf-8"?>
<sst xmlns="http://schemas.openxmlformats.org/spreadsheetml/2006/main" count="141" uniqueCount="92">
  <si>
    <t>Número</t>
  </si>
  <si>
    <t>Encargad@</t>
  </si>
  <si>
    <t>Referencia</t>
  </si>
  <si>
    <t>Tipo</t>
  </si>
  <si>
    <t>Título</t>
  </si>
  <si>
    <t>Cómo se usó en el artículo</t>
  </si>
  <si>
    <t>Marianna</t>
  </si>
  <si>
    <t xml:space="preserve">https://www.ibm.com/es-es/think/topics/machine-learning </t>
  </si>
  <si>
    <t>Blog online</t>
  </si>
  <si>
    <t>¿Qué es el machine learning (ML) o aprendizaje automático?</t>
  </si>
  <si>
    <t>Explica el contexto general en la introducción</t>
  </si>
  <si>
    <t>https://estudiosyperspectivas.org/index.php/EstudiosyPerspectivas/article/view/812/1513</t>
  </si>
  <si>
    <t>Artículo</t>
  </si>
  <si>
    <t>INTELIGENCIA ARTIFICIAL Y SU IMPACTO EN LA TOMA DE DECISIONES</t>
  </si>
  <si>
    <t>Justifica cómo la IA mejora la toma de decisiones y ofrece una ventaja competitiva</t>
  </si>
  <si>
    <t>https://www.cambridge.org/core/journals/legal-information-management/article/effects-of-artificial-intelligence-and-robotics-on-human-labour-a-systematic-review</t>
  </si>
  <si>
    <t>Effects of Artificial Intelligence and Robotics on Human Labour: A Systematic Review</t>
  </si>
  <si>
    <t>Justifica el posible reemplazo del trabajo humano por el trabajo de la inteligencia artificial</t>
  </si>
  <si>
    <t>Camilo</t>
  </si>
  <si>
    <t>https://www.iso.org/standard/42001</t>
  </si>
  <si>
    <t>Página Web</t>
  </si>
  <si>
    <t>ISO/IEC. (2023). ISO/IEC 42001:2023 — Artificial intelligence — Management system. International Organization for Standardization.</t>
  </si>
  <si>
    <t>Sistema de gestión estandarizado para la implementación de la IA en empresas</t>
  </si>
  <si>
    <t>https://doi.org/10.6028/NIST.AI.100-1</t>
  </si>
  <si>
    <t xml:space="preserve">NIST. (2023). Artificial intelligence risk management framework (AI RMF 1.0) (NIST AI 100-1). National Institute of Standards and Technology. </t>
  </si>
  <si>
    <t>Marco para identificar, evaluar y mitigar riesgos asociados al uso de sistemas de IA</t>
  </si>
  <si>
    <t>https://oecd.ai/en/ai-principles</t>
  </si>
  <si>
    <t xml:space="preserve">OCDE. (2024). Updated OECD principles on AI. Organización para la Cooperación y el Desarrollo Económico. </t>
  </si>
  <si>
    <t>Primer estandar intergubernamental, guia para gerentes en la implementación de sistemas de IA</t>
  </si>
  <si>
    <t>https://www.researchgate.net/publication/334166840</t>
  </si>
  <si>
    <t>Floridi, L. &amp; Cowls, J. (2019). A Unified Framework of Five Principles for AI in Society.</t>
  </si>
  <si>
    <t>Marco para evaluar, diseñar e implementar sistemas de IA de forma responsable</t>
  </si>
  <si>
    <t>https://www.researchgate.net/publication/387711589_Review_of_Application_of_AI_in_Amazon_Warehouse_Management</t>
  </si>
  <si>
    <t xml:space="preserve">Review of Application of AI in Amazon Warehouse Management (2024): </t>
  </si>
  <si>
    <t>Caso de la implementación de IA por parte de Amazon para mejorar su productividad</t>
  </si>
  <si>
    <t>Esteban</t>
  </si>
  <si>
    <t>https://zaguan.unizar.es/record/167094/files/TAZ-TFG-2025-1682.pdf</t>
  </si>
  <si>
    <t>Trabajo de grado</t>
  </si>
  <si>
    <t>Automatización de procesos mediante Inteligencia Artificial</t>
  </si>
  <si>
    <t>Soporte teórico sobre automatización con IA</t>
  </si>
  <si>
    <t>https://www.ibm.com/es-es/think/topics/intelligent-automation</t>
  </si>
  <si>
    <t>Artículo web</t>
  </si>
  <si>
    <t>¿Qué es la automatización inteligente?</t>
  </si>
  <si>
    <t>Definición de automatización inteligente</t>
  </si>
  <si>
    <t>https://www.salesforce.com/es/artificial-intelligence/what-is-machine-learning/</t>
  </si>
  <si>
    <t>¿Qué es el machine learning?</t>
  </si>
  <si>
    <t>Apoyo conceptual sobre machine learning</t>
  </si>
  <si>
    <t>PDF</t>
  </si>
  <si>
    <t>Artículo académico</t>
  </si>
  <si>
    <t>El impacto de la inteligencia artificial en los trabajadores despedidos por automatización de servicios</t>
  </si>
  <si>
    <t>Análisis del impacto laboral de la IA</t>
  </si>
  <si>
    <t>Inteligencia artificial y condición humana: ¿Entidades contrapuestas o fuerzas complementarias?</t>
  </si>
  <si>
    <t>Análisis filosófico de la IA</t>
  </si>
  <si>
    <t>https://press.siemens.com/es/es/notadeprensa/siemens-lanza-un-agente-de-ia-industrial-que-eleva-hasta-un-50-la-eficiencia-en</t>
  </si>
  <si>
    <t>Nota de prensa</t>
  </si>
  <si>
    <t>Siemens lanza un agente de IA industrial que eleva hasta un 50% la eficiencia en ingeniería</t>
  </si>
  <si>
    <t>Datos y resultados del caso de estudio</t>
  </si>
  <si>
    <t>Sección</t>
  </si>
  <si>
    <t>Subsección</t>
  </si>
  <si>
    <t>Número de palabras por sección</t>
  </si>
  <si>
    <t>Encargado</t>
  </si>
  <si>
    <t>-</t>
  </si>
  <si>
    <t>Se define al final</t>
  </si>
  <si>
    <t>Autores</t>
  </si>
  <si>
    <t>Esteban Defelipe Díaz, Marianna Isabel Pérez Charris, Camilo Hortúa</t>
  </si>
  <si>
    <t>Institución</t>
  </si>
  <si>
    <t>Universidad Nacional de Colombia</t>
  </si>
  <si>
    <t>Resumen</t>
  </si>
  <si>
    <t>Palabras clave</t>
  </si>
  <si>
    <t>Introducción</t>
  </si>
  <si>
    <t>Contexto general</t>
  </si>
  <si>
    <t>Evolución histórica de la IA</t>
  </si>
  <si>
    <t>Plantear problemática</t>
  </si>
  <si>
    <t>Pregunta problema</t>
  </si>
  <si>
    <t>Objetivo general</t>
  </si>
  <si>
    <t>Objetivos específicos</t>
  </si>
  <si>
    <t>Impacto de la IA en los proyectos</t>
  </si>
  <si>
    <t>Automatización de proyectos</t>
  </si>
  <si>
    <t>Mejora en la toma de decisiones, ventaja competitiva</t>
  </si>
  <si>
    <t>Calidad de resultados de la gerencia implementada con IA</t>
  </si>
  <si>
    <t>Referentes teóricos</t>
  </si>
  <si>
    <t>Caso de estudio vida real en el que el uso de la inteligencia artificial haya sido indispensable para la toma de decisiones en gerencia y gestión de un proyecto</t>
  </si>
  <si>
    <t>Literatura que justifique el posible reemplazo del trabajo humano por el trabajo de la inteligencia artificial, de forma definitiva</t>
  </si>
  <si>
    <t>Buscar un referente teórico que proponga un marco normativo para la regulación de la inteligencia artificial en la gerencia, creación y evaluación de un proyecto</t>
  </si>
  <si>
    <t>Discusión</t>
  </si>
  <si>
    <t>Consideraciones éticas del uso y la medida de la IA en la gerencia y gestión de proyectos, relacionar con autores filosóficos</t>
  </si>
  <si>
    <t>Postura crítica del equipo</t>
  </si>
  <si>
    <t>Conclusiones</t>
  </si>
  <si>
    <t>Síntesis</t>
  </si>
  <si>
    <t>Respuesta a la pregunta problema</t>
  </si>
  <si>
    <t>Implicaciones futuras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</si>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</sst>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u/>
      <color rgb="FF0000FF"/>
    </font>
    <font>
      <u/>
      <color rgb="FF0000FF"/>
    </font>
    <font>
      <u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  <font>
      <b/>
      <color theme="1"/>
      <name val="Arial"/>
    </font>
    <font>
      <i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7" numFmtId="0" xfId="0" applyBorder="1" applyFont="1"/>
    <xf borderId="1" fillId="0" fontId="8" numFmtId="0" xfId="0" applyBorder="1" applyFont="1"/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0" fontId="8" numFmtId="0" xfId="0" applyAlignment="1" applyBorder="1" applyFont="1">
      <alignment shrinkToFit="0" wrapText="1"/>
    </xf>
    <xf borderId="0" fillId="0" fontId="7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alesforce.com/es/artificial-intelligence/what-is-machine-learning/" TargetMode="External"/><Relationship Id="rId10" Type="http://schemas.openxmlformats.org/officeDocument/2006/relationships/hyperlink" Target="https://www.ibm.com/es-es/think/topics/intelligent-automation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press.siemens.com/es/es/notadeprensa/siemens-lanza-un-agente-de-ia-industrial-que-eleva-hasta-un-50-la-eficiencia-en" TargetMode="External"/><Relationship Id="rId1" Type="http://schemas.openxmlformats.org/officeDocument/2006/relationships/hyperlink" Target="https://www.ibm.com/es-es/think/topics/machine-learning" TargetMode="External"/><Relationship Id="rId2" Type="http://schemas.openxmlformats.org/officeDocument/2006/relationships/hyperlink" Target="https://estudiosyperspectivas.org/index.php/EstudiosyPerspectivas/article/view/812/1513" TargetMode="External"/><Relationship Id="rId3" Type="http://schemas.openxmlformats.org/officeDocument/2006/relationships/hyperlink" Target="https://www.cambridge.org/core/journals/legal-information-management/article/effects-of-artificial-intelligence-and-robotics-on-human-labour-a-systematic-review" TargetMode="External"/><Relationship Id="rId4" Type="http://schemas.openxmlformats.org/officeDocument/2006/relationships/hyperlink" Target="https://www.iso.org/standard/42001" TargetMode="External"/><Relationship Id="rId9" Type="http://schemas.openxmlformats.org/officeDocument/2006/relationships/hyperlink" Target="https://zaguan.unizar.es/record/167094/files/TAZ-TFG-2025-1682.pdf" TargetMode="External"/><Relationship Id="rId5" Type="http://schemas.openxmlformats.org/officeDocument/2006/relationships/hyperlink" Target="https://doi.org/10.6028/NIST.AI.100-1" TargetMode="External"/><Relationship Id="rId6" Type="http://schemas.openxmlformats.org/officeDocument/2006/relationships/hyperlink" Target="https://oecd.ai/en/ai-principles" TargetMode="External"/><Relationship Id="rId7" Type="http://schemas.openxmlformats.org/officeDocument/2006/relationships/hyperlink" Target="https://www.researchgate.net/publication/334166840" TargetMode="External"/><Relationship Id="rId8" Type="http://schemas.openxmlformats.org/officeDocument/2006/relationships/hyperlink" Target="https://www.researchgate.net/publication/387711589_Review_of_Application_of_AI_in_Amazon_Warehouse_Managemen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45.88"/>
    <col customWidth="1" min="3" max="3" width="104.75"/>
    <col customWidth="1" min="4" max="4" width="12.63"/>
    <col customWidth="1" min="5" max="5" width="107.75"/>
    <col customWidth="1" min="6" max="6" width="75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>
        <v>1.0</v>
      </c>
      <c r="B2" s="1" t="s">
        <v>6</v>
      </c>
      <c r="C2" s="2" t="s">
        <v>7</v>
      </c>
      <c r="D2" s="1" t="s">
        <v>8</v>
      </c>
      <c r="E2" s="1" t="s">
        <v>9</v>
      </c>
      <c r="F2" s="1" t="s">
        <v>10</v>
      </c>
    </row>
    <row r="3" ht="15.75" customHeight="1">
      <c r="A3" s="1">
        <f t="shared" ref="A3:A15" si="1">A2+1</f>
        <v>2</v>
      </c>
      <c r="B3" s="1" t="s">
        <v>6</v>
      </c>
      <c r="C3" s="2" t="s">
        <v>11</v>
      </c>
      <c r="D3" s="1" t="s">
        <v>12</v>
      </c>
      <c r="E3" s="1" t="s">
        <v>13</v>
      </c>
      <c r="F3" s="1" t="s">
        <v>14</v>
      </c>
    </row>
    <row r="4" ht="15.75" customHeight="1">
      <c r="A4" s="1">
        <f t="shared" si="1"/>
        <v>3</v>
      </c>
      <c r="B4" s="1" t="s">
        <v>6</v>
      </c>
      <c r="C4" s="2" t="s">
        <v>15</v>
      </c>
      <c r="D4" s="1" t="s">
        <v>12</v>
      </c>
      <c r="E4" s="1" t="s">
        <v>16</v>
      </c>
      <c r="F4" s="1" t="s">
        <v>17</v>
      </c>
    </row>
    <row r="5" ht="15.75" customHeight="1">
      <c r="A5" s="1">
        <f t="shared" si="1"/>
        <v>4</v>
      </c>
      <c r="B5" s="1" t="s">
        <v>18</v>
      </c>
      <c r="C5" s="3" t="s">
        <v>19</v>
      </c>
      <c r="D5" s="1" t="s">
        <v>20</v>
      </c>
      <c r="E5" s="1" t="s">
        <v>21</v>
      </c>
      <c r="F5" s="1" t="s">
        <v>22</v>
      </c>
    </row>
    <row r="6" ht="15.75" customHeight="1">
      <c r="A6" s="1">
        <f t="shared" si="1"/>
        <v>5</v>
      </c>
      <c r="B6" s="1" t="s">
        <v>18</v>
      </c>
      <c r="C6" s="2" t="s">
        <v>23</v>
      </c>
      <c r="D6" s="1" t="s">
        <v>12</v>
      </c>
      <c r="E6" s="1" t="s">
        <v>24</v>
      </c>
      <c r="F6" s="1" t="s">
        <v>25</v>
      </c>
    </row>
    <row r="7" ht="15.75" customHeight="1">
      <c r="A7" s="1">
        <f t="shared" si="1"/>
        <v>6</v>
      </c>
      <c r="B7" s="1" t="s">
        <v>18</v>
      </c>
      <c r="C7" s="2" t="s">
        <v>26</v>
      </c>
      <c r="D7" s="1" t="s">
        <v>20</v>
      </c>
      <c r="E7" s="1" t="s">
        <v>27</v>
      </c>
      <c r="F7" s="1" t="s">
        <v>28</v>
      </c>
    </row>
    <row r="8" ht="15.75" customHeight="1">
      <c r="A8" s="1">
        <f t="shared" si="1"/>
        <v>7</v>
      </c>
      <c r="B8" s="1" t="s">
        <v>18</v>
      </c>
      <c r="C8" s="2" t="s">
        <v>29</v>
      </c>
      <c r="D8" s="1" t="s">
        <v>12</v>
      </c>
      <c r="E8" s="1" t="s">
        <v>30</v>
      </c>
      <c r="F8" s="1" t="s">
        <v>31</v>
      </c>
    </row>
    <row r="9" ht="15.75" customHeight="1">
      <c r="A9" s="1">
        <f t="shared" si="1"/>
        <v>8</v>
      </c>
      <c r="B9" s="1" t="s">
        <v>18</v>
      </c>
      <c r="C9" s="2" t="s">
        <v>32</v>
      </c>
      <c r="D9" s="1" t="s">
        <v>12</v>
      </c>
      <c r="E9" s="1" t="s">
        <v>33</v>
      </c>
      <c r="F9" s="1" t="s">
        <v>34</v>
      </c>
    </row>
    <row r="10" ht="15.75" customHeight="1">
      <c r="A10" s="1">
        <f t="shared" si="1"/>
        <v>9</v>
      </c>
      <c r="B10" s="1" t="s">
        <v>35</v>
      </c>
      <c r="C10" s="4" t="s">
        <v>36</v>
      </c>
      <c r="D10" s="5" t="s">
        <v>37</v>
      </c>
      <c r="E10" s="6" t="s">
        <v>38</v>
      </c>
      <c r="F10" s="5" t="s">
        <v>39</v>
      </c>
    </row>
    <row r="11" ht="15.75" customHeight="1">
      <c r="A11" s="1">
        <f t="shared" si="1"/>
        <v>10</v>
      </c>
      <c r="B11" s="1" t="s">
        <v>35</v>
      </c>
      <c r="C11" s="4" t="s">
        <v>40</v>
      </c>
      <c r="D11" s="5" t="s">
        <v>41</v>
      </c>
      <c r="E11" s="5" t="s">
        <v>42</v>
      </c>
      <c r="F11" s="6" t="s">
        <v>43</v>
      </c>
    </row>
    <row r="12" ht="15.75" customHeight="1">
      <c r="A12" s="1">
        <f t="shared" si="1"/>
        <v>11</v>
      </c>
      <c r="B12" s="1" t="s">
        <v>35</v>
      </c>
      <c r="C12" s="4" t="s">
        <v>44</v>
      </c>
      <c r="D12" s="5" t="s">
        <v>41</v>
      </c>
      <c r="E12" s="5" t="s">
        <v>45</v>
      </c>
      <c r="F12" s="5" t="s">
        <v>46</v>
      </c>
    </row>
    <row r="13" ht="15.75" customHeight="1">
      <c r="A13" s="1">
        <f t="shared" si="1"/>
        <v>12</v>
      </c>
      <c r="B13" s="1" t="s">
        <v>35</v>
      </c>
      <c r="C13" s="6" t="s">
        <v>47</v>
      </c>
      <c r="D13" s="5" t="s">
        <v>48</v>
      </c>
      <c r="E13" s="5" t="s">
        <v>49</v>
      </c>
      <c r="F13" s="5" t="s">
        <v>50</v>
      </c>
    </row>
    <row r="14" ht="15.75" customHeight="1">
      <c r="A14" s="1">
        <f t="shared" si="1"/>
        <v>13</v>
      </c>
      <c r="B14" s="1" t="s">
        <v>35</v>
      </c>
      <c r="C14" s="6" t="s">
        <v>47</v>
      </c>
      <c r="D14" s="5" t="s">
        <v>48</v>
      </c>
      <c r="E14" s="5" t="s">
        <v>51</v>
      </c>
      <c r="F14" s="5" t="s">
        <v>52</v>
      </c>
    </row>
    <row r="15" ht="15.75" customHeight="1">
      <c r="A15" s="1">
        <f t="shared" si="1"/>
        <v>14</v>
      </c>
      <c r="B15" s="1" t="s">
        <v>35</v>
      </c>
      <c r="C15" s="4" t="s">
        <v>53</v>
      </c>
      <c r="D15" s="5" t="s">
        <v>54</v>
      </c>
      <c r="E15" s="5" t="s">
        <v>55</v>
      </c>
      <c r="F15" s="5" t="s">
        <v>56</v>
      </c>
    </row>
    <row r="16" ht="15.75" customHeight="1">
      <c r="A16" s="1"/>
      <c r="B16" s="1"/>
      <c r="C16" s="5"/>
      <c r="D16" s="5"/>
      <c r="E16" s="5"/>
      <c r="F16" s="5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5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135.13"/>
    <col customWidth="1" min="3" max="3" width="27.25"/>
    <col customWidth="1" min="4" max="4" width="15.88"/>
    <col customWidth="1" min="5" max="6" width="12.63"/>
  </cols>
  <sheetData>
    <row r="1" ht="15.75" customHeight="1">
      <c r="A1" s="7" t="s">
        <v>57</v>
      </c>
      <c r="B1" s="7" t="s">
        <v>58</v>
      </c>
      <c r="C1" s="7" t="s">
        <v>59</v>
      </c>
      <c r="D1" s="7" t="s">
        <v>60</v>
      </c>
    </row>
    <row r="2" ht="15.75" customHeight="1">
      <c r="A2" s="8" t="s">
        <v>4</v>
      </c>
      <c r="B2" s="1" t="s">
        <v>61</v>
      </c>
      <c r="C2" s="1" t="s">
        <v>61</v>
      </c>
      <c r="D2" s="1" t="s">
        <v>62</v>
      </c>
    </row>
    <row r="3" ht="15.75" customHeight="1">
      <c r="A3" s="8" t="s">
        <v>63</v>
      </c>
      <c r="B3" s="1" t="s">
        <v>64</v>
      </c>
      <c r="C3" s="1" t="s">
        <v>61</v>
      </c>
      <c r="D3" s="1" t="s">
        <v>61</v>
      </c>
    </row>
    <row r="4" ht="15.75" customHeight="1">
      <c r="A4" s="8" t="s">
        <v>65</v>
      </c>
      <c r="B4" s="1" t="s">
        <v>66</v>
      </c>
      <c r="C4" s="1" t="s">
        <v>61</v>
      </c>
      <c r="D4" s="1" t="s">
        <v>61</v>
      </c>
    </row>
    <row r="5" ht="15.75" customHeight="1">
      <c r="A5" s="8" t="s">
        <v>67</v>
      </c>
      <c r="B5" s="1" t="s">
        <v>61</v>
      </c>
      <c r="C5" s="1">
        <v>250.0</v>
      </c>
      <c r="D5" s="1" t="s">
        <v>61</v>
      </c>
    </row>
    <row r="6" ht="15.75" customHeight="1">
      <c r="A6" s="8" t="s">
        <v>68</v>
      </c>
      <c r="B6" s="1" t="s">
        <v>61</v>
      </c>
      <c r="C6" s="1" t="s">
        <v>61</v>
      </c>
      <c r="D6" s="1" t="s">
        <v>61</v>
      </c>
    </row>
    <row r="7" ht="15.75" customHeight="1">
      <c r="A7" s="8" t="s">
        <v>69</v>
      </c>
      <c r="B7" s="1" t="s">
        <v>70</v>
      </c>
      <c r="C7" s="1">
        <v>350.0</v>
      </c>
      <c r="D7" s="9" t="s">
        <v>6</v>
      </c>
    </row>
    <row r="8" ht="15.75" customHeight="1">
      <c r="A8" s="8"/>
      <c r="B8" s="1" t="s">
        <v>71</v>
      </c>
      <c r="C8" s="1">
        <v>300.0</v>
      </c>
      <c r="D8" s="10" t="s">
        <v>18</v>
      </c>
    </row>
    <row r="9" ht="15.75" customHeight="1">
      <c r="A9" s="8"/>
      <c r="B9" s="1" t="s">
        <v>72</v>
      </c>
      <c r="C9" s="1">
        <v>360.0</v>
      </c>
      <c r="D9" s="11" t="s">
        <v>35</v>
      </c>
    </row>
    <row r="10" ht="15.75" customHeight="1">
      <c r="A10" s="8"/>
      <c r="B10" s="1" t="s">
        <v>73</v>
      </c>
      <c r="C10" s="1">
        <v>30.0</v>
      </c>
      <c r="D10" s="11" t="s">
        <v>35</v>
      </c>
    </row>
    <row r="11" ht="15.75" customHeight="1">
      <c r="A11" s="8" t="s">
        <v>74</v>
      </c>
      <c r="B11" s="1"/>
      <c r="C11" s="1">
        <v>25.0</v>
      </c>
      <c r="D11" s="10" t="s">
        <v>18</v>
      </c>
    </row>
    <row r="12" ht="15.75" customHeight="1">
      <c r="A12" s="8" t="s">
        <v>75</v>
      </c>
      <c r="B12" s="1"/>
      <c r="C12" s="1">
        <v>30.0</v>
      </c>
      <c r="D12" s="9" t="s">
        <v>6</v>
      </c>
    </row>
    <row r="13" ht="15.75" customHeight="1">
      <c r="A13" s="8"/>
      <c r="B13" s="1"/>
      <c r="C13" s="1">
        <v>30.0</v>
      </c>
      <c r="D13" s="9" t="s">
        <v>6</v>
      </c>
    </row>
    <row r="14" ht="15.75" customHeight="1">
      <c r="A14" s="8"/>
      <c r="B14" s="1"/>
      <c r="C14" s="1">
        <v>30.0</v>
      </c>
      <c r="D14" s="9" t="s">
        <v>6</v>
      </c>
    </row>
    <row r="15" ht="15.75" customHeight="1">
      <c r="A15" s="12" t="s">
        <v>76</v>
      </c>
      <c r="B15" s="1" t="s">
        <v>77</v>
      </c>
      <c r="C15" s="1">
        <v>1271.0</v>
      </c>
      <c r="D15" s="11" t="s">
        <v>35</v>
      </c>
    </row>
    <row r="16" ht="15.75" customHeight="1">
      <c r="A16" s="12"/>
      <c r="B16" s="1" t="s">
        <v>78</v>
      </c>
      <c r="C16" s="1">
        <v>1200.0</v>
      </c>
      <c r="D16" s="9" t="s">
        <v>6</v>
      </c>
    </row>
    <row r="17" ht="15.75" customHeight="1">
      <c r="A17" s="12"/>
      <c r="B17" s="1" t="s">
        <v>79</v>
      </c>
      <c r="C17" s="1">
        <v>1000.0</v>
      </c>
      <c r="D17" s="10" t="s">
        <v>18</v>
      </c>
    </row>
    <row r="18" ht="15.75" customHeight="1">
      <c r="A18" s="8" t="s">
        <v>80</v>
      </c>
      <c r="B18" s="1" t="s">
        <v>81</v>
      </c>
      <c r="C18" s="1">
        <v>700.0</v>
      </c>
      <c r="D18" s="11" t="s">
        <v>35</v>
      </c>
    </row>
    <row r="19" ht="15.75" customHeight="1">
      <c r="A19" s="8"/>
      <c r="B19" s="1" t="s">
        <v>82</v>
      </c>
      <c r="C19" s="1">
        <v>800.0</v>
      </c>
      <c r="D19" s="9" t="s">
        <v>6</v>
      </c>
    </row>
    <row r="20" ht="15.75" customHeight="1">
      <c r="A20" s="8"/>
      <c r="B20" s="1" t="s">
        <v>83</v>
      </c>
      <c r="C20" s="1">
        <v>700.0</v>
      </c>
      <c r="D20" s="10" t="s">
        <v>18</v>
      </c>
    </row>
    <row r="21" ht="15.75" customHeight="1">
      <c r="A21" s="8" t="s">
        <v>84</v>
      </c>
      <c r="B21" s="1" t="s">
        <v>85</v>
      </c>
      <c r="C21" s="1">
        <v>800.0</v>
      </c>
      <c r="D21" s="11" t="s">
        <v>35</v>
      </c>
    </row>
    <row r="22" ht="15.75" customHeight="1">
      <c r="A22" s="8"/>
      <c r="B22" s="1" t="s">
        <v>86</v>
      </c>
      <c r="C22" s="1">
        <v>800.0</v>
      </c>
      <c r="D22" s="10" t="s">
        <v>18</v>
      </c>
    </row>
    <row r="23" ht="15.75" customHeight="1">
      <c r="A23" s="8" t="s">
        <v>87</v>
      </c>
      <c r="B23" s="1" t="s">
        <v>88</v>
      </c>
      <c r="C23" s="1">
        <v>300.0</v>
      </c>
      <c r="D23" s="10" t="s">
        <v>18</v>
      </c>
    </row>
    <row r="24" ht="15.75" customHeight="1">
      <c r="A24" s="1"/>
      <c r="B24" s="1" t="s">
        <v>89</v>
      </c>
      <c r="C24" s="1">
        <v>200.0</v>
      </c>
      <c r="D24" s="9" t="s">
        <v>6</v>
      </c>
    </row>
    <row r="25" ht="15.75" customHeight="1">
      <c r="A25" s="1"/>
      <c r="B25" s="1" t="s">
        <v>90</v>
      </c>
      <c r="C25" s="1">
        <v>200.0</v>
      </c>
      <c r="D25" s="11" t="s">
        <v>35</v>
      </c>
    </row>
    <row r="26" ht="15.75" customHeight="1">
      <c r="B26" s="13" t="s">
        <v>91</v>
      </c>
      <c r="C26" s="14">
        <f>SUM(C2:C23)</f>
        <v>8976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